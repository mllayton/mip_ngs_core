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4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aryleelayton/Documents/NGS_CORE/Templates/"/>
    </mc:Choice>
  </mc:AlternateContent>
  <xr:revisionPtr revIDLastSave="0" documentId="13_ncr:1_{86FD20EC-2ABC-1A44-8039-D0F8D74A5927}" xr6:coauthVersionLast="36" xr6:coauthVersionMax="36" xr10:uidLastSave="{00000000-0000-0000-0000-000000000000}"/>
  <bookViews>
    <workbookView xWindow="0" yWindow="460" windowWidth="18820" windowHeight="16080" xr2:uid="{D14F592E-C228-C848-A9B7-0D46705F0953}"/>
  </bookViews>
  <sheets>
    <sheet name="Sheet1" sheetId="1" r:id="rId1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5" i="1" l="1"/>
  <c r="I8" i="1"/>
  <c r="I9" i="1"/>
  <c r="H5" i="1"/>
  <c r="H8" i="1"/>
  <c r="H9" i="1"/>
  <c r="E5" i="1"/>
  <c r="E6" i="1"/>
  <c r="H6" i="1" s="1"/>
  <c r="I6" i="1" s="1"/>
  <c r="E7" i="1"/>
  <c r="H7" i="1" s="1"/>
  <c r="I7" i="1" s="1"/>
  <c r="E8" i="1"/>
  <c r="E9" i="1"/>
  <c r="E4" i="1" l="1"/>
  <c r="H4" i="1" s="1"/>
  <c r="I4" i="1" s="1"/>
</calcChain>
</file>

<file path=xl/sharedStrings.xml><?xml version="1.0" encoding="utf-8"?>
<sst xmlns="http://schemas.openxmlformats.org/spreadsheetml/2006/main" count="103" uniqueCount="76">
  <si>
    <t>Library Concentration Calculator</t>
  </si>
  <si>
    <t>Library</t>
  </si>
  <si>
    <t>Kapa conc 1, pM</t>
  </si>
  <si>
    <t>Kapa conc 2, pM</t>
  </si>
  <si>
    <t>Kapa conc 3, pM</t>
  </si>
  <si>
    <t>Kapa conc, pM avg</t>
  </si>
  <si>
    <t>dilution factor</t>
  </si>
  <si>
    <t>avg. length</t>
  </si>
  <si>
    <t>[DNA] nM</t>
  </si>
  <si>
    <t>[DNA] nM, size corr.</t>
  </si>
  <si>
    <t>Kapa Quant</t>
  </si>
  <si>
    <t>&lt;--------</t>
  </si>
  <si>
    <t>lib concentration for loading</t>
  </si>
  <si>
    <t>PhiX should be close to 10 nM (typically measures 10-12 nM)</t>
  </si>
  <si>
    <t>Example</t>
  </si>
  <si>
    <t>Experiment: NGS_9_19_18_GC_9_19_Hamm_9_14_GC_9_19  Selected Filter: SYBR Green I / HRM Dye (465-510)</t>
  </si>
  <si>
    <t>Pos</t>
  </si>
  <si>
    <t>Name</t>
  </si>
  <si>
    <t>Cp</t>
  </si>
  <si>
    <t>Concentration</t>
  </si>
  <si>
    <t>Standard</t>
  </si>
  <si>
    <t>B3</t>
  </si>
  <si>
    <t>Std1</t>
  </si>
  <si>
    <t>B4</t>
  </si>
  <si>
    <t>B5</t>
  </si>
  <si>
    <t>B6</t>
  </si>
  <si>
    <t>Std 2</t>
  </si>
  <si>
    <t>B7</t>
  </si>
  <si>
    <t>B8</t>
  </si>
  <si>
    <t>C3</t>
  </si>
  <si>
    <t>Std 3</t>
  </si>
  <si>
    <t>C4</t>
  </si>
  <si>
    <t>C5</t>
  </si>
  <si>
    <t>C6</t>
  </si>
  <si>
    <t>Std 4</t>
  </si>
  <si>
    <t>C7</t>
  </si>
  <si>
    <t>C8</t>
  </si>
  <si>
    <t>D3</t>
  </si>
  <si>
    <t>Std 5</t>
  </si>
  <si>
    <t>D4</t>
  </si>
  <si>
    <t>D5</t>
  </si>
  <si>
    <t>D6</t>
  </si>
  <si>
    <t>PhiX 1:1000</t>
  </si>
  <si>
    <t>D7</t>
  </si>
  <si>
    <t>D8</t>
  </si>
  <si>
    <t>D9</t>
  </si>
  <si>
    <t>PhiX 1:10000</t>
  </si>
  <si>
    <t>D10</t>
  </si>
  <si>
    <t>D11</t>
  </si>
  <si>
    <t>E3</t>
  </si>
  <si>
    <t>GC 9.19 Rep 1</t>
  </si>
  <si>
    <t>E4</t>
  </si>
  <si>
    <t>E5</t>
  </si>
  <si>
    <t>E6</t>
  </si>
  <si>
    <t>GC 9.19 Rep 2</t>
  </si>
  <si>
    <t>E7</t>
  </si>
  <si>
    <t>E8</t>
  </si>
  <si>
    <t>F3</t>
  </si>
  <si>
    <t>Hamm 9.14 Rep 1</t>
  </si>
  <si>
    <t>F4</t>
  </si>
  <si>
    <t>F5</t>
  </si>
  <si>
    <t>F6</t>
  </si>
  <si>
    <t>Hamm 9.14 Rep 2</t>
  </si>
  <si>
    <t>F7</t>
  </si>
  <si>
    <t>F8</t>
  </si>
  <si>
    <t>G3</t>
  </si>
  <si>
    <t>GC 9.14 Rep 1</t>
  </si>
  <si>
    <t>G4</t>
  </si>
  <si>
    <t>G5</t>
  </si>
  <si>
    <t>G6</t>
  </si>
  <si>
    <t>GC 9.14 Rep 2</t>
  </si>
  <si>
    <t>G7</t>
  </si>
  <si>
    <t>G8</t>
  </si>
  <si>
    <t>GC 9.19</t>
  </si>
  <si>
    <t>Hamm 9.14</t>
  </si>
  <si>
    <t>GC 9.14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</si>
</sst>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B7FFB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0" fillId="0" borderId="0" xfId="0" applyAlignment="1"/>
    <xf numFmtId="11" fontId="0" fillId="0" borderId="0" xfId="0" applyNumberFormat="1"/>
    <xf numFmtId="2" fontId="1" fillId="2" borderId="0" xfId="0" applyNumberFormat="1" applyFont="1" applyFill="1"/>
    <xf numFmtId="0" fontId="1" fillId="0" borderId="0" xfId="0" applyFont="1" applyAlignment="1">
      <alignment horizontal="center"/>
    </xf>
    <xf numFmtId="0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7FFB8"/>
      <color rgb="FFB3FF6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B559D-9452-8848-BC23-D53E9F321047}">
  <dimension ref="A1:K52"/>
  <sheetViews>
    <sheetView tabSelected="1" zoomScale="75" workbookViewId="0">
      <selection activeCell="M32" sqref="M32"/>
    </sheetView>
  </sheetViews>
  <sheetFormatPr baseColWidth="10" defaultRowHeight="16" x14ac:dyDescent="0.2"/>
  <sheetData>
    <row r="1" spans="1:11" x14ac:dyDescent="0.2">
      <c r="A1" s="1" t="s">
        <v>0</v>
      </c>
    </row>
    <row r="2" spans="1:11" x14ac:dyDescent="0.2">
      <c r="H2" s="5" t="s">
        <v>10</v>
      </c>
      <c r="I2" s="5"/>
    </row>
    <row r="3" spans="1:11" x14ac:dyDescent="0.2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8</v>
      </c>
      <c r="I3" s="1" t="s">
        <v>9</v>
      </c>
      <c r="J3" s="1"/>
    </row>
    <row r="4" spans="1:11" x14ac:dyDescent="0.2">
      <c r="A4" t="s">
        <v>14</v>
      </c>
      <c r="B4" s="3">
        <v>2.59</v>
      </c>
      <c r="C4" s="3">
        <v>2.59</v>
      </c>
      <c r="D4" s="3">
        <v>2.71</v>
      </c>
      <c r="E4" s="7">
        <f>AVERAGE(B4:D4)</f>
        <v>2.63</v>
      </c>
      <c r="F4" s="6">
        <v>1000</v>
      </c>
      <c r="G4" s="6">
        <v>418</v>
      </c>
      <c r="H4" s="7">
        <f>E4*F4/1000</f>
        <v>2.63</v>
      </c>
      <c r="I4" s="4">
        <f>H4*452/G4</f>
        <v>2.8439234449760766</v>
      </c>
      <c r="J4" s="2" t="s">
        <v>11</v>
      </c>
      <c r="K4" s="2" t="s">
        <v>12</v>
      </c>
    </row>
    <row r="5" spans="1:11" x14ac:dyDescent="0.2">
      <c r="A5" t="s">
        <v>73</v>
      </c>
      <c r="B5" s="3">
        <v>3.86</v>
      </c>
      <c r="C5" s="3">
        <v>3.89</v>
      </c>
      <c r="D5" s="3">
        <v>4.08</v>
      </c>
      <c r="E5" s="7">
        <f t="shared" ref="E5:E9" si="0">AVERAGE(B5:D5)</f>
        <v>3.9433333333333334</v>
      </c>
      <c r="F5" s="6">
        <v>1000</v>
      </c>
      <c r="G5" s="6">
        <v>446</v>
      </c>
      <c r="H5" s="7">
        <f t="shared" ref="H5:H9" si="1">E5*F5/1000</f>
        <v>3.9433333333333334</v>
      </c>
      <c r="I5" s="4">
        <f t="shared" ref="I5:I9" si="2">H5*452/G5</f>
        <v>3.9963826606875936</v>
      </c>
    </row>
    <row r="6" spans="1:11" x14ac:dyDescent="0.2">
      <c r="A6" t="s">
        <v>74</v>
      </c>
      <c r="B6" s="3">
        <v>2.81</v>
      </c>
      <c r="C6" s="3">
        <v>2.88</v>
      </c>
      <c r="D6" s="3">
        <v>2.78</v>
      </c>
      <c r="E6" s="7">
        <f t="shared" si="0"/>
        <v>2.8233333333333328</v>
      </c>
      <c r="F6" s="6">
        <v>1000</v>
      </c>
      <c r="G6" s="7">
        <v>615</v>
      </c>
      <c r="H6" s="7">
        <f t="shared" si="1"/>
        <v>2.8233333333333333</v>
      </c>
      <c r="I6" s="4">
        <f t="shared" si="2"/>
        <v>2.0750352303523032</v>
      </c>
    </row>
    <row r="7" spans="1:11" x14ac:dyDescent="0.2">
      <c r="A7" t="s">
        <v>75</v>
      </c>
      <c r="B7" s="3">
        <v>3.88</v>
      </c>
      <c r="C7" s="3">
        <v>4.0999999999999996</v>
      </c>
      <c r="D7" s="3">
        <v>3.92</v>
      </c>
      <c r="E7" s="7">
        <f t="shared" si="0"/>
        <v>3.9666666666666663</v>
      </c>
      <c r="F7" s="6">
        <v>1000</v>
      </c>
      <c r="G7" s="7">
        <v>473</v>
      </c>
      <c r="H7" s="7">
        <f t="shared" si="1"/>
        <v>3.9666666666666663</v>
      </c>
      <c r="I7" s="4">
        <f t="shared" si="2"/>
        <v>3.7905567300916134</v>
      </c>
      <c r="J7" s="2" t="s">
        <v>11</v>
      </c>
      <c r="K7" s="2" t="s">
        <v>13</v>
      </c>
    </row>
    <row r="8" spans="1:11" x14ac:dyDescent="0.2">
      <c r="E8" s="7" t="e">
        <f t="shared" si="0"/>
        <v>#DIV/0!</v>
      </c>
      <c r="F8" s="6">
        <v>1000</v>
      </c>
      <c r="G8" s="6"/>
      <c r="H8" s="7" t="e">
        <f t="shared" si="1"/>
        <v>#DIV/0!</v>
      </c>
      <c r="I8" s="4" t="e">
        <f t="shared" si="2"/>
        <v>#DIV/0!</v>
      </c>
    </row>
    <row r="9" spans="1:11" x14ac:dyDescent="0.2">
      <c r="E9" s="7" t="e">
        <f t="shared" si="0"/>
        <v>#DIV/0!</v>
      </c>
      <c r="F9" s="6">
        <v>1000</v>
      </c>
      <c r="G9" s="6"/>
      <c r="H9" s="7" t="e">
        <f t="shared" si="1"/>
        <v>#DIV/0!</v>
      </c>
      <c r="I9" s="4" t="e">
        <f t="shared" si="2"/>
        <v>#DIV/0!</v>
      </c>
    </row>
    <row r="12" spans="1:11" x14ac:dyDescent="0.2">
      <c r="A12" t="s">
        <v>15</v>
      </c>
    </row>
    <row r="13" spans="1:11" x14ac:dyDescent="0.2">
      <c r="C13" t="s">
        <v>16</v>
      </c>
      <c r="D13" t="s">
        <v>17</v>
      </c>
      <c r="E13" t="s">
        <v>18</v>
      </c>
      <c r="F13" t="s">
        <v>19</v>
      </c>
      <c r="G13" t="s">
        <v>20</v>
      </c>
    </row>
    <row r="14" spans="1:11" x14ac:dyDescent="0.2">
      <c r="C14" t="s">
        <v>21</v>
      </c>
      <c r="D14" t="s">
        <v>22</v>
      </c>
      <c r="E14">
        <v>8.16</v>
      </c>
      <c r="F14" s="3">
        <v>23.3</v>
      </c>
      <c r="G14">
        <v>20</v>
      </c>
    </row>
    <row r="15" spans="1:11" x14ac:dyDescent="0.2">
      <c r="C15" t="s">
        <v>23</v>
      </c>
      <c r="D15" t="s">
        <v>22</v>
      </c>
      <c r="E15">
        <v>8.18</v>
      </c>
      <c r="F15" s="3">
        <v>22.9</v>
      </c>
      <c r="G15">
        <v>20</v>
      </c>
    </row>
    <row r="16" spans="1:11" x14ac:dyDescent="0.2">
      <c r="C16" t="s">
        <v>24</v>
      </c>
      <c r="D16" t="s">
        <v>22</v>
      </c>
      <c r="E16">
        <v>8.1300000000000008</v>
      </c>
      <c r="F16" s="3">
        <v>23.8</v>
      </c>
      <c r="G16">
        <v>20</v>
      </c>
    </row>
    <row r="17" spans="3:7" x14ac:dyDescent="0.2">
      <c r="C17" t="s">
        <v>25</v>
      </c>
      <c r="D17" t="s">
        <v>26</v>
      </c>
      <c r="E17">
        <v>12.12</v>
      </c>
      <c r="F17" s="3">
        <v>1.56</v>
      </c>
      <c r="G17">
        <v>2</v>
      </c>
    </row>
    <row r="18" spans="3:7" x14ac:dyDescent="0.2">
      <c r="C18" t="s">
        <v>27</v>
      </c>
      <c r="D18" t="s">
        <v>26</v>
      </c>
      <c r="E18">
        <v>12.15</v>
      </c>
      <c r="F18" s="3">
        <v>1.53</v>
      </c>
      <c r="G18">
        <v>2</v>
      </c>
    </row>
    <row r="19" spans="3:7" x14ac:dyDescent="0.2">
      <c r="C19" t="s">
        <v>28</v>
      </c>
      <c r="D19" t="s">
        <v>26</v>
      </c>
      <c r="E19">
        <v>12.25</v>
      </c>
      <c r="F19" s="3">
        <v>1.43</v>
      </c>
      <c r="G19">
        <v>2</v>
      </c>
    </row>
    <row r="20" spans="3:7" x14ac:dyDescent="0.2">
      <c r="C20" t="s">
        <v>29</v>
      </c>
      <c r="D20" t="s">
        <v>30</v>
      </c>
      <c r="E20">
        <v>15</v>
      </c>
      <c r="F20" s="3">
        <v>0.219</v>
      </c>
      <c r="G20">
        <v>0.2</v>
      </c>
    </row>
    <row r="21" spans="3:7" x14ac:dyDescent="0.2">
      <c r="C21" t="s">
        <v>31</v>
      </c>
      <c r="D21" t="s">
        <v>30</v>
      </c>
      <c r="E21">
        <v>15.02</v>
      </c>
      <c r="F21" s="3">
        <v>0.217</v>
      </c>
      <c r="G21">
        <v>0.2</v>
      </c>
    </row>
    <row r="22" spans="3:7" x14ac:dyDescent="0.2">
      <c r="C22" t="s">
        <v>32</v>
      </c>
      <c r="D22" t="s">
        <v>30</v>
      </c>
      <c r="E22">
        <v>15.03</v>
      </c>
      <c r="F22" s="3">
        <v>0.215</v>
      </c>
      <c r="G22">
        <v>0.2</v>
      </c>
    </row>
    <row r="23" spans="3:7" x14ac:dyDescent="0.2">
      <c r="C23" t="s">
        <v>33</v>
      </c>
      <c r="D23" t="s">
        <v>34</v>
      </c>
      <c r="E23">
        <v>18.46</v>
      </c>
      <c r="F23" s="3">
        <v>2.07E-2</v>
      </c>
      <c r="G23">
        <v>0.02</v>
      </c>
    </row>
    <row r="24" spans="3:7" x14ac:dyDescent="0.2">
      <c r="C24" t="s">
        <v>35</v>
      </c>
      <c r="D24" t="s">
        <v>34</v>
      </c>
      <c r="E24">
        <v>18.39</v>
      </c>
      <c r="F24" s="3">
        <v>2.18E-2</v>
      </c>
      <c r="G24">
        <v>0.02</v>
      </c>
    </row>
    <row r="25" spans="3:7" x14ac:dyDescent="0.2">
      <c r="C25" t="s">
        <v>36</v>
      </c>
      <c r="D25" t="s">
        <v>34</v>
      </c>
      <c r="E25">
        <v>18.48</v>
      </c>
      <c r="F25" s="3">
        <v>2.0400000000000001E-2</v>
      </c>
      <c r="G25">
        <v>0.02</v>
      </c>
    </row>
    <row r="26" spans="3:7" x14ac:dyDescent="0.2">
      <c r="C26" t="s">
        <v>37</v>
      </c>
      <c r="D26" t="s">
        <v>38</v>
      </c>
      <c r="E26">
        <v>21.9</v>
      </c>
      <c r="F26" s="3">
        <v>1.99E-3</v>
      </c>
      <c r="G26">
        <v>2E-3</v>
      </c>
    </row>
    <row r="27" spans="3:7" x14ac:dyDescent="0.2">
      <c r="C27" t="s">
        <v>39</v>
      </c>
      <c r="D27" t="s">
        <v>38</v>
      </c>
      <c r="E27">
        <v>21.86</v>
      </c>
      <c r="F27" s="3">
        <v>2.0400000000000001E-3</v>
      </c>
      <c r="G27">
        <v>2E-3</v>
      </c>
    </row>
    <row r="28" spans="3:7" x14ac:dyDescent="0.2">
      <c r="C28" t="s">
        <v>40</v>
      </c>
      <c r="D28" t="s">
        <v>38</v>
      </c>
      <c r="E28">
        <v>21.89</v>
      </c>
      <c r="F28" s="3">
        <v>2E-3</v>
      </c>
      <c r="G28">
        <v>2E-3</v>
      </c>
    </row>
    <row r="29" spans="3:7" x14ac:dyDescent="0.2">
      <c r="C29" t="s">
        <v>41</v>
      </c>
      <c r="D29" t="s">
        <v>42</v>
      </c>
      <c r="E29">
        <v>8.59</v>
      </c>
      <c r="F29" s="3">
        <v>17.399999999999999</v>
      </c>
      <c r="G29">
        <v>0</v>
      </c>
    </row>
    <row r="30" spans="3:7" x14ac:dyDescent="0.2">
      <c r="C30" t="s">
        <v>43</v>
      </c>
      <c r="D30" t="s">
        <v>42</v>
      </c>
      <c r="E30">
        <v>8.49</v>
      </c>
      <c r="F30" s="3">
        <v>18.600000000000001</v>
      </c>
      <c r="G30">
        <v>0</v>
      </c>
    </row>
    <row r="31" spans="3:7" x14ac:dyDescent="0.2">
      <c r="C31" t="s">
        <v>44</v>
      </c>
      <c r="D31" t="s">
        <v>42</v>
      </c>
      <c r="E31">
        <v>8.5299999999999994</v>
      </c>
      <c r="F31" s="3">
        <v>18</v>
      </c>
      <c r="G31">
        <v>0</v>
      </c>
    </row>
    <row r="32" spans="3:7" x14ac:dyDescent="0.2">
      <c r="C32" t="s">
        <v>45</v>
      </c>
      <c r="D32" t="s">
        <v>46</v>
      </c>
      <c r="E32">
        <v>11.81</v>
      </c>
      <c r="F32" s="3">
        <v>1.92</v>
      </c>
      <c r="G32">
        <v>0</v>
      </c>
    </row>
    <row r="33" spans="3:7" x14ac:dyDescent="0.2">
      <c r="C33" t="s">
        <v>47</v>
      </c>
      <c r="D33" t="s">
        <v>46</v>
      </c>
      <c r="E33">
        <v>11.88</v>
      </c>
      <c r="F33" s="3">
        <v>1.84</v>
      </c>
      <c r="G33">
        <v>0</v>
      </c>
    </row>
    <row r="34" spans="3:7" x14ac:dyDescent="0.2">
      <c r="C34" t="s">
        <v>48</v>
      </c>
      <c r="D34" t="s">
        <v>46</v>
      </c>
      <c r="E34">
        <v>12.05</v>
      </c>
      <c r="F34" s="3">
        <v>1.63</v>
      </c>
      <c r="G34">
        <v>0</v>
      </c>
    </row>
    <row r="35" spans="3:7" x14ac:dyDescent="0.2">
      <c r="C35" t="s">
        <v>49</v>
      </c>
      <c r="D35" t="s">
        <v>50</v>
      </c>
      <c r="E35">
        <v>10.79</v>
      </c>
      <c r="F35" s="3">
        <v>3.86</v>
      </c>
      <c r="G35">
        <v>0</v>
      </c>
    </row>
    <row r="36" spans="3:7" x14ac:dyDescent="0.2">
      <c r="C36" t="s">
        <v>51</v>
      </c>
      <c r="D36" t="s">
        <v>50</v>
      </c>
      <c r="E36">
        <v>10.78</v>
      </c>
      <c r="F36" s="3">
        <v>3.89</v>
      </c>
      <c r="G36">
        <v>0</v>
      </c>
    </row>
    <row r="37" spans="3:7" x14ac:dyDescent="0.2">
      <c r="C37" t="s">
        <v>52</v>
      </c>
      <c r="D37" t="s">
        <v>50</v>
      </c>
      <c r="E37">
        <v>10.71</v>
      </c>
      <c r="F37" s="3">
        <v>4.08</v>
      </c>
      <c r="G37">
        <v>0</v>
      </c>
    </row>
    <row r="38" spans="3:7" x14ac:dyDescent="0.2">
      <c r="C38" t="s">
        <v>53</v>
      </c>
      <c r="D38" t="s">
        <v>54</v>
      </c>
      <c r="E38">
        <v>10.89</v>
      </c>
      <c r="F38" s="3">
        <v>3.61</v>
      </c>
      <c r="G38">
        <v>0</v>
      </c>
    </row>
    <row r="39" spans="3:7" x14ac:dyDescent="0.2">
      <c r="C39" t="s">
        <v>55</v>
      </c>
      <c r="D39" t="s">
        <v>54</v>
      </c>
      <c r="E39">
        <v>10.79</v>
      </c>
      <c r="F39" s="3">
        <v>3.85</v>
      </c>
      <c r="G39">
        <v>0</v>
      </c>
    </row>
    <row r="40" spans="3:7" x14ac:dyDescent="0.2">
      <c r="C40" t="s">
        <v>56</v>
      </c>
      <c r="D40" t="s">
        <v>54</v>
      </c>
      <c r="E40">
        <v>10.84</v>
      </c>
      <c r="F40" s="3">
        <v>3.73</v>
      </c>
      <c r="G40">
        <v>0</v>
      </c>
    </row>
    <row r="41" spans="3:7" x14ac:dyDescent="0.2">
      <c r="C41" t="s">
        <v>57</v>
      </c>
      <c r="D41" t="s">
        <v>58</v>
      </c>
      <c r="E41">
        <v>11.25</v>
      </c>
      <c r="F41" s="3">
        <v>2.81</v>
      </c>
      <c r="G41">
        <v>0</v>
      </c>
    </row>
    <row r="42" spans="3:7" x14ac:dyDescent="0.2">
      <c r="C42" t="s">
        <v>59</v>
      </c>
      <c r="D42" t="s">
        <v>58</v>
      </c>
      <c r="E42">
        <v>11.22</v>
      </c>
      <c r="F42" s="3">
        <v>2.88</v>
      </c>
      <c r="G42">
        <v>0</v>
      </c>
    </row>
    <row r="43" spans="3:7" x14ac:dyDescent="0.2">
      <c r="C43" t="s">
        <v>60</v>
      </c>
      <c r="D43" t="s">
        <v>58</v>
      </c>
      <c r="E43">
        <v>11.27</v>
      </c>
      <c r="F43" s="3">
        <v>2.78</v>
      </c>
      <c r="G43">
        <v>0</v>
      </c>
    </row>
    <row r="44" spans="3:7" x14ac:dyDescent="0.2">
      <c r="C44" t="s">
        <v>61</v>
      </c>
      <c r="D44" t="s">
        <v>62</v>
      </c>
      <c r="E44">
        <v>11.27</v>
      </c>
      <c r="F44" s="3">
        <v>2.78</v>
      </c>
      <c r="G44">
        <v>0</v>
      </c>
    </row>
    <row r="45" spans="3:7" x14ac:dyDescent="0.2">
      <c r="C45" t="s">
        <v>63</v>
      </c>
      <c r="D45" t="s">
        <v>62</v>
      </c>
      <c r="E45">
        <v>11.25</v>
      </c>
      <c r="F45" s="3">
        <v>2.81</v>
      </c>
      <c r="G45">
        <v>0</v>
      </c>
    </row>
    <row r="46" spans="3:7" x14ac:dyDescent="0.2">
      <c r="C46" t="s">
        <v>64</v>
      </c>
      <c r="D46" t="s">
        <v>62</v>
      </c>
      <c r="E46">
        <v>11.67</v>
      </c>
      <c r="F46" s="3">
        <v>2.11</v>
      </c>
      <c r="G46">
        <v>0</v>
      </c>
    </row>
    <row r="47" spans="3:7" x14ac:dyDescent="0.2">
      <c r="C47" t="s">
        <v>65</v>
      </c>
      <c r="D47" t="s">
        <v>66</v>
      </c>
      <c r="E47">
        <v>10.62</v>
      </c>
      <c r="F47" s="3">
        <v>4.34</v>
      </c>
      <c r="G47">
        <v>0</v>
      </c>
    </row>
    <row r="48" spans="3:7" x14ac:dyDescent="0.2">
      <c r="C48" t="s">
        <v>67</v>
      </c>
      <c r="D48" t="s">
        <v>66</v>
      </c>
      <c r="E48">
        <v>10.83</v>
      </c>
      <c r="F48" s="3">
        <v>3.75</v>
      </c>
      <c r="G48">
        <v>0</v>
      </c>
    </row>
    <row r="49" spans="3:7" x14ac:dyDescent="0.2">
      <c r="C49" t="s">
        <v>68</v>
      </c>
      <c r="D49" t="s">
        <v>66</v>
      </c>
      <c r="E49">
        <v>10.89</v>
      </c>
      <c r="F49" s="3">
        <v>3.61</v>
      </c>
      <c r="G49">
        <v>0</v>
      </c>
    </row>
    <row r="50" spans="3:7" x14ac:dyDescent="0.2">
      <c r="C50" t="s">
        <v>69</v>
      </c>
      <c r="D50" t="s">
        <v>70</v>
      </c>
      <c r="E50">
        <v>10.78</v>
      </c>
      <c r="F50" s="3">
        <v>3.88</v>
      </c>
      <c r="G50">
        <v>0</v>
      </c>
    </row>
    <row r="51" spans="3:7" x14ac:dyDescent="0.2">
      <c r="C51" t="s">
        <v>71</v>
      </c>
      <c r="D51" t="s">
        <v>70</v>
      </c>
      <c r="E51">
        <v>10.7</v>
      </c>
      <c r="F51" s="3">
        <v>4.0999999999999996</v>
      </c>
      <c r="G51">
        <v>0</v>
      </c>
    </row>
    <row r="52" spans="3:7" x14ac:dyDescent="0.2">
      <c r="C52" t="s">
        <v>72</v>
      </c>
      <c r="D52" t="s">
        <v>70</v>
      </c>
      <c r="E52">
        <v>10.77</v>
      </c>
      <c r="F52" s="3">
        <v>3.92</v>
      </c>
      <c r="G52">
        <v>0</v>
      </c>
    </row>
  </sheetData>
  <mergeCells count="1">
    <mergeCell ref="H2:I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Layton,Marylee</dc:creator>
  <cp:lastModifiedBy>Layton,Marylee</cp:lastModifiedBy>
  <dcterms:created xsi:type="dcterms:W3CDTF">2018-09-20T15:41:21Z</dcterms:created>
  <dcterms:modified xsi:type="dcterms:W3CDTF">2018-09-20T16:09:51Z</dcterms:modified>
</cp:coreProperties>
</file>